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cimentaciones\"/>
    </mc:Choice>
  </mc:AlternateContent>
  <xr:revisionPtr revIDLastSave="0" documentId="13_ncr:1_{706A4CBB-495F-417C-9747-2C7F670311D4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Arcilla (Método Alfa)" sheetId="1" r:id="rId1"/>
    <sheet name="Fórmula ENR Modificada" sheetId="2" r:id="rId2"/>
    <sheet name="Arena (SPT Meyerhof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3" l="1"/>
  <c r="C15" i="3"/>
  <c r="C13" i="3"/>
  <c r="C14" i="3" s="1"/>
  <c r="C16" i="3" s="1"/>
  <c r="C12" i="3"/>
  <c r="C21" i="3" s="1"/>
  <c r="C11" i="3"/>
  <c r="C15" i="2"/>
  <c r="C14" i="2"/>
  <c r="C18" i="2" s="1"/>
  <c r="C12" i="1"/>
  <c r="C17" i="1" s="1"/>
  <c r="C11" i="1"/>
  <c r="C16" i="1" s="1"/>
  <c r="C18" i="1" s="1"/>
  <c r="C20" i="3" l="1"/>
  <c r="C22" i="3" s="1"/>
</calcChain>
</file>

<file path=xl/sharedStrings.xml><?xml version="1.0" encoding="utf-8"?>
<sst xmlns="http://schemas.openxmlformats.org/spreadsheetml/2006/main" count="86" uniqueCount="42">
  <si>
    <t>Cálculo de Capacidad en Arcilla</t>
  </si>
  <si>
    <t>Datos de Entrada</t>
  </si>
  <si>
    <t>Valor</t>
  </si>
  <si>
    <t>Unidad</t>
  </si>
  <si>
    <t>Diámetro del pilote (D)</t>
  </si>
  <si>
    <t>m</t>
  </si>
  <si>
    <t>Longitud del pilote (L)</t>
  </si>
  <si>
    <t>Cohesión no drenada (cu)</t>
  </si>
  <si>
    <t>kN/m2</t>
  </si>
  <si>
    <t>Factor de adhesión (alfa)</t>
  </si>
  <si>
    <t>-</t>
  </si>
  <si>
    <t>Cálculos Intermedios</t>
  </si>
  <si>
    <t>Área de la punta (Ap)</t>
  </si>
  <si>
    <t>m2</t>
  </si>
  <si>
    <t>Perímetro</t>
  </si>
  <si>
    <t>Factor Nc*</t>
  </si>
  <si>
    <t>Resultados</t>
  </si>
  <si>
    <t>Resistencia de punta (Qp)</t>
  </si>
  <si>
    <t>kN</t>
  </si>
  <si>
    <t>Fricción lateral (Qs)</t>
  </si>
  <si>
    <t>Capacidad última total (Qu)</t>
  </si>
  <si>
    <t>Cálculo con Fórmula Dinámica de Hincado ENR</t>
  </si>
  <si>
    <t>Datos del Martinete e Hincado</t>
  </si>
  <si>
    <t>Eficiencia del martinete (E)</t>
  </si>
  <si>
    <t>Peso del ariete (W_R)</t>
  </si>
  <si>
    <t>Altura de caída (h)</t>
  </si>
  <si>
    <t>mm</t>
  </si>
  <si>
    <t>Penetración por golpe (S)</t>
  </si>
  <si>
    <t>Constante (C)</t>
  </si>
  <si>
    <t>Coeficiente de restitución (n)</t>
  </si>
  <si>
    <t>Peso del pilote (W_p)</t>
  </si>
  <si>
    <t>Energía Neta Entregada</t>
  </si>
  <si>
    <t>kN-mm</t>
  </si>
  <si>
    <t>Término de Pesos</t>
  </si>
  <si>
    <t>Cálculo de Capacidad en Arena usando SPT</t>
  </si>
  <si>
    <t>Presión atmosférica (pa)</t>
  </si>
  <si>
    <t>N60 promedio</t>
  </si>
  <si>
    <t>L/D</t>
  </si>
  <si>
    <t>qp calculado</t>
  </si>
  <si>
    <t>qp límite</t>
  </si>
  <si>
    <t>qp definitivo</t>
  </si>
  <si>
    <t>Fricción unitaria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</si>
</sst>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left" indent="1"/>
    </xf>
    <xf numFmtId="164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0" fontId="2" fillId="2" borderId="0" xfId="0" applyFont="1" applyFill="1"/>
    <xf numFmtId="164" fontId="2" fillId="2" borderId="0" xfId="0" applyNumberFormat="1" applyFont="1" applyFill="1"/>
    <xf numFmtId="0" fontId="2" fillId="2" borderId="0" xfId="0" applyFont="1" applyFill="1" applyAlignment="1">
      <alignment horizontal="left" indent="1"/>
    </xf>
    <xf numFmtId="0" fontId="3" fillId="3" borderId="0" xfId="0" applyFont="1" applyFill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tabSelected="1" workbookViewId="0">
      <selection activeCell="D12" sqref="D12"/>
    </sheetView>
  </sheetViews>
  <sheetFormatPr baseColWidth="10" defaultColWidth="9" defaultRowHeight="14.3" x14ac:dyDescent="0.25"/>
  <cols>
    <col min="1" max="1" width="6.625" style="1" customWidth="1"/>
    <col min="2" max="2" width="41.875" style="1" customWidth="1"/>
    <col min="3" max="3" width="15" style="2" customWidth="1"/>
    <col min="4" max="4" width="10" style="3" customWidth="1"/>
    <col min="5" max="16384" width="9" style="1"/>
  </cols>
  <sheetData>
    <row r="2" spans="2:4" ht="19.05" x14ac:dyDescent="0.35">
      <c r="B2" s="9" t="s">
        <v>0</v>
      </c>
      <c r="C2" s="9"/>
      <c r="D2" s="9"/>
    </row>
    <row r="4" spans="2:4" x14ac:dyDescent="0.25">
      <c r="B4" s="10" t="s">
        <v>1</v>
      </c>
      <c r="C4" s="4" t="s">
        <v>2</v>
      </c>
      <c r="D4" s="5" t="s">
        <v>3</v>
      </c>
    </row>
    <row r="5" spans="2:4" x14ac:dyDescent="0.25">
      <c r="B5" s="1" t="s">
        <v>4</v>
      </c>
      <c r="C5" s="2">
        <v>0.4</v>
      </c>
      <c r="D5" s="3" t="s">
        <v>5</v>
      </c>
    </row>
    <row r="6" spans="2:4" x14ac:dyDescent="0.25">
      <c r="B6" s="1" t="s">
        <v>6</v>
      </c>
      <c r="C6" s="2">
        <v>15</v>
      </c>
      <c r="D6" s="3" t="s">
        <v>5</v>
      </c>
    </row>
    <row r="7" spans="2:4" x14ac:dyDescent="0.25">
      <c r="B7" s="1" t="s">
        <v>7</v>
      </c>
      <c r="C7" s="2">
        <v>50</v>
      </c>
      <c r="D7" s="3" t="s">
        <v>8</v>
      </c>
    </row>
    <row r="8" spans="2:4" x14ac:dyDescent="0.25">
      <c r="B8" s="1" t="s">
        <v>9</v>
      </c>
      <c r="C8" s="2">
        <v>0.7</v>
      </c>
      <c r="D8" s="3" t="s">
        <v>10</v>
      </c>
    </row>
    <row r="10" spans="2:4" x14ac:dyDescent="0.25">
      <c r="B10" s="10" t="s">
        <v>11</v>
      </c>
    </row>
    <row r="11" spans="2:4" x14ac:dyDescent="0.25">
      <c r="B11" s="1" t="s">
        <v>12</v>
      </c>
      <c r="C11" s="2">
        <f>PI()*(C5^2)/4</f>
        <v>0.12566370614359174</v>
      </c>
      <c r="D11" s="3" t="s">
        <v>13</v>
      </c>
    </row>
    <row r="12" spans="2:4" x14ac:dyDescent="0.25">
      <c r="B12" s="1" t="s">
        <v>14</v>
      </c>
      <c r="C12" s="2">
        <f>PI()*C5</f>
        <v>1.2566370614359172</v>
      </c>
      <c r="D12" s="3" t="s">
        <v>5</v>
      </c>
    </row>
    <row r="13" spans="2:4" x14ac:dyDescent="0.25">
      <c r="B13" s="1" t="s">
        <v>15</v>
      </c>
      <c r="C13" s="2">
        <v>9</v>
      </c>
      <c r="D13" s="3" t="s">
        <v>10</v>
      </c>
    </row>
    <row r="15" spans="2:4" x14ac:dyDescent="0.25">
      <c r="B15" s="10" t="s">
        <v>16</v>
      </c>
    </row>
    <row r="16" spans="2:4" x14ac:dyDescent="0.25">
      <c r="B16" s="1" t="s">
        <v>17</v>
      </c>
      <c r="C16" s="2">
        <f>C11 * C7 * C13</f>
        <v>56.548667764616283</v>
      </c>
      <c r="D16" s="3" t="s">
        <v>18</v>
      </c>
    </row>
    <row r="17" spans="2:4" x14ac:dyDescent="0.25">
      <c r="B17" s="1" t="s">
        <v>19</v>
      </c>
      <c r="C17" s="2">
        <f>C12 * C6 * C8 * C7</f>
        <v>659.73445725385659</v>
      </c>
      <c r="D17" s="3" t="s">
        <v>18</v>
      </c>
    </row>
    <row r="18" spans="2:4" x14ac:dyDescent="0.25">
      <c r="B18" s="6" t="s">
        <v>20</v>
      </c>
      <c r="C18" s="7">
        <f>C16 + C17</f>
        <v>716.2831250184729</v>
      </c>
      <c r="D18" s="8" t="s">
        <v>18</v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8"/>
  <sheetViews>
    <sheetView workbookViewId="0">
      <selection activeCell="B17" sqref="B17"/>
    </sheetView>
  </sheetViews>
  <sheetFormatPr baseColWidth="10" defaultColWidth="9" defaultRowHeight="14.3" x14ac:dyDescent="0.25"/>
  <cols>
    <col min="1" max="1" width="7.5" style="1" customWidth="1"/>
    <col min="2" max="2" width="40" style="1" customWidth="1"/>
    <col min="3" max="3" width="15" style="2" customWidth="1"/>
    <col min="4" max="4" width="10" style="3" customWidth="1"/>
    <col min="5" max="16384" width="9" style="1"/>
  </cols>
  <sheetData>
    <row r="2" spans="2:4" ht="19.05" x14ac:dyDescent="0.35">
      <c r="B2" s="9" t="s">
        <v>21</v>
      </c>
      <c r="C2" s="9"/>
      <c r="D2" s="9"/>
    </row>
    <row r="4" spans="2:4" x14ac:dyDescent="0.25">
      <c r="B4" s="10" t="s">
        <v>22</v>
      </c>
      <c r="C4" s="4" t="s">
        <v>2</v>
      </c>
      <c r="D4" s="5" t="s">
        <v>3</v>
      </c>
    </row>
    <row r="5" spans="2:4" x14ac:dyDescent="0.25">
      <c r="B5" s="1" t="s">
        <v>23</v>
      </c>
      <c r="C5" s="2">
        <v>0.8</v>
      </c>
      <c r="D5" s="3" t="s">
        <v>10</v>
      </c>
    </row>
    <row r="6" spans="2:4" x14ac:dyDescent="0.25">
      <c r="B6" s="1" t="s">
        <v>24</v>
      </c>
      <c r="C6" s="2">
        <v>33.36</v>
      </c>
      <c r="D6" s="3" t="s">
        <v>18</v>
      </c>
    </row>
    <row r="7" spans="2:4" x14ac:dyDescent="0.25">
      <c r="B7" s="1" t="s">
        <v>25</v>
      </c>
      <c r="C7" s="2">
        <v>1250</v>
      </c>
      <c r="D7" s="3" t="s">
        <v>26</v>
      </c>
    </row>
    <row r="8" spans="2:4" x14ac:dyDescent="0.25">
      <c r="B8" s="1" t="s">
        <v>27</v>
      </c>
      <c r="C8" s="2">
        <v>3.1749999999999998</v>
      </c>
      <c r="D8" s="3" t="s">
        <v>26</v>
      </c>
    </row>
    <row r="9" spans="2:4" x14ac:dyDescent="0.25">
      <c r="B9" s="1" t="s">
        <v>28</v>
      </c>
      <c r="C9" s="2">
        <v>2.54</v>
      </c>
      <c r="D9" s="3" t="s">
        <v>26</v>
      </c>
    </row>
    <row r="10" spans="2:4" x14ac:dyDescent="0.25">
      <c r="B10" s="1" t="s">
        <v>29</v>
      </c>
      <c r="C10" s="2">
        <v>0.4</v>
      </c>
      <c r="D10" s="3" t="s">
        <v>10</v>
      </c>
    </row>
    <row r="11" spans="2:4" x14ac:dyDescent="0.25">
      <c r="B11" s="1" t="s">
        <v>30</v>
      </c>
      <c r="C11" s="2">
        <v>55.95</v>
      </c>
      <c r="D11" s="3" t="s">
        <v>18</v>
      </c>
    </row>
    <row r="13" spans="2:4" x14ac:dyDescent="0.25">
      <c r="B13" s="10" t="s">
        <v>11</v>
      </c>
    </row>
    <row r="14" spans="2:4" x14ac:dyDescent="0.25">
      <c r="B14" s="1" t="s">
        <v>31</v>
      </c>
      <c r="C14" s="2">
        <f>C5 * C6 * C7</f>
        <v>33360</v>
      </c>
      <c r="D14" s="3" t="s">
        <v>32</v>
      </c>
    </row>
    <row r="15" spans="2:4" x14ac:dyDescent="0.25">
      <c r="B15" s="1" t="s">
        <v>33</v>
      </c>
      <c r="C15" s="2">
        <f>(C6 + (C10^2)*C11) / (C6 + C11)</f>
        <v>0.47376553577426939</v>
      </c>
      <c r="D15" s="3" t="s">
        <v>10</v>
      </c>
    </row>
    <row r="17" spans="2:4" x14ac:dyDescent="0.25">
      <c r="B17" s="10" t="s">
        <v>16</v>
      </c>
    </row>
    <row r="18" spans="2:4" x14ac:dyDescent="0.25">
      <c r="B18" s="6" t="s">
        <v>20</v>
      </c>
      <c r="C18" s="7">
        <f>(C14 / (C8 + C9)) * C15</f>
        <v>2765.497510661352</v>
      </c>
      <c r="D18" s="8" t="s">
        <v>18</v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2"/>
  <sheetViews>
    <sheetView workbookViewId="0">
      <selection activeCell="E24" sqref="E24"/>
    </sheetView>
  </sheetViews>
  <sheetFormatPr baseColWidth="10" defaultColWidth="9" defaultRowHeight="14.3" x14ac:dyDescent="0.25"/>
  <cols>
    <col min="1" max="1" width="7.375" style="1" customWidth="1"/>
    <col min="2" max="2" width="35.625" style="1" customWidth="1"/>
    <col min="3" max="3" width="15" style="2" customWidth="1"/>
    <col min="4" max="4" width="10" style="3" customWidth="1"/>
    <col min="5" max="16384" width="9" style="1"/>
  </cols>
  <sheetData>
    <row r="2" spans="2:4" ht="19.05" x14ac:dyDescent="0.35">
      <c r="B2" s="9" t="s">
        <v>34</v>
      </c>
      <c r="C2" s="9"/>
      <c r="D2" s="9"/>
    </row>
    <row r="4" spans="2:4" x14ac:dyDescent="0.25">
      <c r="B4" s="10" t="s">
        <v>1</v>
      </c>
      <c r="C4" s="4" t="s">
        <v>2</v>
      </c>
      <c r="D4" s="5" t="s">
        <v>3</v>
      </c>
    </row>
    <row r="5" spans="2:4" x14ac:dyDescent="0.25">
      <c r="B5" s="1" t="s">
        <v>4</v>
      </c>
      <c r="C5" s="2">
        <v>0.4</v>
      </c>
      <c r="D5" s="3" t="s">
        <v>5</v>
      </c>
    </row>
    <row r="6" spans="2:4" x14ac:dyDescent="0.25">
      <c r="B6" s="1" t="s">
        <v>6</v>
      </c>
      <c r="C6" s="2">
        <v>15</v>
      </c>
      <c r="D6" s="3" t="s">
        <v>5</v>
      </c>
    </row>
    <row r="7" spans="2:4" x14ac:dyDescent="0.25">
      <c r="B7" s="1" t="s">
        <v>35</v>
      </c>
      <c r="C7" s="2">
        <v>100</v>
      </c>
      <c r="D7" s="3" t="s">
        <v>8</v>
      </c>
    </row>
    <row r="8" spans="2:4" x14ac:dyDescent="0.25">
      <c r="B8" s="1" t="s">
        <v>36</v>
      </c>
      <c r="C8" s="2">
        <v>25</v>
      </c>
      <c r="D8" s="3" t="s">
        <v>10</v>
      </c>
    </row>
    <row r="10" spans="2:4" x14ac:dyDescent="0.25">
      <c r="B10" s="10" t="s">
        <v>11</v>
      </c>
    </row>
    <row r="11" spans="2:4" x14ac:dyDescent="0.25">
      <c r="B11" s="1" t="s">
        <v>12</v>
      </c>
      <c r="C11" s="2">
        <f>PI()*(C5^2)/4</f>
        <v>0.12566370614359174</v>
      </c>
      <c r="D11" s="3" t="s">
        <v>13</v>
      </c>
    </row>
    <row r="12" spans="2:4" x14ac:dyDescent="0.25">
      <c r="B12" s="1" t="s">
        <v>14</v>
      </c>
      <c r="C12" s="2">
        <f>PI()*C5</f>
        <v>1.2566370614359172</v>
      </c>
      <c r="D12" s="3" t="s">
        <v>5</v>
      </c>
    </row>
    <row r="13" spans="2:4" x14ac:dyDescent="0.25">
      <c r="B13" s="1" t="s">
        <v>37</v>
      </c>
      <c r="C13" s="2">
        <f>C6/C5</f>
        <v>37.5</v>
      </c>
      <c r="D13" s="3" t="s">
        <v>10</v>
      </c>
    </row>
    <row r="14" spans="2:4" x14ac:dyDescent="0.25">
      <c r="B14" s="1" t="s">
        <v>38</v>
      </c>
      <c r="C14" s="2">
        <f>0.4*C7*C8*C13</f>
        <v>37500</v>
      </c>
      <c r="D14" s="3" t="s">
        <v>8</v>
      </c>
    </row>
    <row r="15" spans="2:4" x14ac:dyDescent="0.25">
      <c r="B15" s="1" t="s">
        <v>39</v>
      </c>
      <c r="C15" s="2">
        <f>4*C7*C8</f>
        <v>10000</v>
      </c>
      <c r="D15" s="3" t="s">
        <v>8</v>
      </c>
    </row>
    <row r="16" spans="2:4" x14ac:dyDescent="0.25">
      <c r="B16" s="1" t="s">
        <v>40</v>
      </c>
      <c r="C16" s="2">
        <f>MIN(C14, C15)</f>
        <v>10000</v>
      </c>
      <c r="D16" s="3" t="s">
        <v>8</v>
      </c>
    </row>
    <row r="17" spans="2:4" x14ac:dyDescent="0.25">
      <c r="B17" s="1" t="s">
        <v>41</v>
      </c>
      <c r="C17" s="2">
        <f>0.02*C7*C8</f>
        <v>50</v>
      </c>
      <c r="D17" s="3" t="s">
        <v>8</v>
      </c>
    </row>
    <row r="19" spans="2:4" x14ac:dyDescent="0.25">
      <c r="B19" s="10" t="s">
        <v>16</v>
      </c>
    </row>
    <row r="20" spans="2:4" x14ac:dyDescent="0.25">
      <c r="B20" s="1" t="s">
        <v>17</v>
      </c>
      <c r="C20" s="2">
        <f>C11 * C16</f>
        <v>1256.6370614359173</v>
      </c>
      <c r="D20" s="3" t="s">
        <v>18</v>
      </c>
    </row>
    <row r="21" spans="2:4" x14ac:dyDescent="0.25">
      <c r="B21" s="1" t="s">
        <v>19</v>
      </c>
      <c r="C21" s="2">
        <f>C12 * C6 * C17</f>
        <v>942.47779607693792</v>
      </c>
      <c r="D21" s="3" t="s">
        <v>18</v>
      </c>
    </row>
    <row r="22" spans="2:4" x14ac:dyDescent="0.25">
      <c r="B22" s="6" t="s">
        <v>20</v>
      </c>
      <c r="C22" s="7">
        <f>C20 + C21</f>
        <v>2199.1148575128555</v>
      </c>
      <c r="D22" s="8" t="s">
        <v>18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Arcilla (Método Alfa)</vt:lpstr>
      <vt:lpstr>Fórmula ENR Modificada</vt:lpstr>
      <vt:lpstr>Arena (SPT Meyerhof)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Canez</dc:creator>
  <cp:lastModifiedBy>jesus canez</cp:lastModifiedBy>
  <dcterms:created xsi:type="dcterms:W3CDTF">2026-07-09T22:34:34Z</dcterms:created>
  <dcterms:modified xsi:type="dcterms:W3CDTF">2026-07-09T23:03:27Z</dcterms:modified>
</cp:coreProperties>
</file>